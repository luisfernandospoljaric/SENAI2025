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isf\Desktop\"/>
    </mc:Choice>
  </mc:AlternateContent>
  <xr:revisionPtr revIDLastSave="0" documentId="13_ncr:1_{1E060611-4B81-4CD8-8433-C56AD654C99A}" xr6:coauthVersionLast="47" xr6:coauthVersionMax="47" xr10:uidLastSave="{00000000-0000-0000-0000-000000000000}"/>
  <bookViews>
    <workbookView xWindow="-120" yWindow="-120" windowWidth="20730" windowHeight="11310" activeTab="2" xr2:uid="{0FCE1886-EF66-4D46-9A4F-7C567F4060D2}"/>
  </bookViews>
  <sheets>
    <sheet name="Cadastro" sheetId="1" r:id="rId1"/>
    <sheet name="Base" sheetId="2" r:id="rId2"/>
    <sheet name="Planilha1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E3" i="3" s="1"/>
  <c r="B3" i="3"/>
  <c r="B4" i="3"/>
  <c r="C4" i="3"/>
  <c r="E4" i="3" s="1"/>
  <c r="B5" i="3"/>
  <c r="C5" i="3"/>
  <c r="B6" i="3"/>
  <c r="C6" i="3"/>
  <c r="E6" i="3" s="1"/>
  <c r="B7" i="3"/>
  <c r="C7" i="3"/>
  <c r="E7" i="3" s="1"/>
  <c r="B8" i="3"/>
  <c r="C8" i="3"/>
  <c r="B9" i="3"/>
  <c r="C9" i="3"/>
  <c r="E5" i="3"/>
  <c r="E8" i="3"/>
  <c r="E9" i="3"/>
  <c r="E15" i="1"/>
  <c r="D15" i="1"/>
  <c r="C15" i="1"/>
  <c r="B15" i="1"/>
  <c r="E10" i="3" l="1"/>
</calcChain>
</file>

<file path=xl/sharedStrings.xml><?xml version="1.0" encoding="utf-8"?>
<sst xmlns="http://schemas.openxmlformats.org/spreadsheetml/2006/main" count="65" uniqueCount="28">
  <si>
    <t>Cadastro de Eventos</t>
  </si>
  <si>
    <t>Nome</t>
  </si>
  <si>
    <t>Data</t>
  </si>
  <si>
    <t>Email</t>
  </si>
  <si>
    <t>Sexo</t>
  </si>
  <si>
    <t>E-mail</t>
  </si>
  <si>
    <t>M</t>
  </si>
  <si>
    <t>F</t>
  </si>
  <si>
    <t>luis.sp@teste</t>
  </si>
  <si>
    <t>dsadsa</t>
  </si>
  <si>
    <t>ddddddddddddd</t>
  </si>
  <si>
    <t>aaa</t>
  </si>
  <si>
    <t>ddd</t>
  </si>
  <si>
    <t>dddd</t>
  </si>
  <si>
    <t>Welli</t>
  </si>
  <si>
    <t>welli@teste.com</t>
  </si>
  <si>
    <t>Comanda</t>
  </si>
  <si>
    <t>id</t>
  </si>
  <si>
    <t>Produto</t>
  </si>
  <si>
    <t>Preço</t>
  </si>
  <si>
    <t>xxx</t>
  </si>
  <si>
    <t>Pastel</t>
  </si>
  <si>
    <t>Coxinha</t>
  </si>
  <si>
    <t>Refri</t>
  </si>
  <si>
    <t>Qtd</t>
  </si>
  <si>
    <t>Subtotal</t>
  </si>
  <si>
    <t>Total</t>
  </si>
  <si>
    <t>Preco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</si>
</sst>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2" borderId="0" xfId="0" applyFon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14" fontId="0" fillId="0" borderId="0" xfId="0" applyNumberFormat="1"/>
    <xf numFmtId="14" fontId="2" fillId="2" borderId="0" xfId="0" applyNumberFormat="1" applyFont="1" applyFill="1"/>
    <xf numFmtId="14" fontId="0" fillId="0" borderId="0" xfId="0" applyNumberForma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2" xfId="0" applyFont="1" applyFill="1" applyBorder="1" applyAlignment="1">
      <alignment horizontal="center"/>
    </xf>
    <xf numFmtId="14" fontId="3" fillId="2" borderId="0" xfId="1" applyNumberForma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44" fontId="0" fillId="0" borderId="0" xfId="2" applyFont="1"/>
    <xf numFmtId="44" fontId="0" fillId="0" borderId="0" xfId="0" applyNumberFormat="1"/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180975</xdr:rowOff>
    </xdr:from>
    <xdr:to>
      <xdr:col>2</xdr:col>
      <xdr:colOff>1314450</xdr:colOff>
      <xdr:row>10</xdr:row>
      <xdr:rowOff>419100</xdr:rowOff>
    </xdr:to>
    <xdr:sp macro="[0]!Cada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EBFFF0-22BF-01F1-77E2-4AF7CA0818D3}"/>
            </a:ext>
          </a:extLst>
        </xdr:cNvPr>
        <xdr:cNvSpPr/>
      </xdr:nvSpPr>
      <xdr:spPr>
        <a:xfrm>
          <a:off x="1228725" y="2181225"/>
          <a:ext cx="1304925" cy="23812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</a:p>
      </xdr:txBody>
    </xdr:sp>
    <xdr:clientData/>
  </xdr:twoCellAnchor>
  <xdr:twoCellAnchor>
    <xdr:from>
      <xdr:col>3</xdr:col>
      <xdr:colOff>304800</xdr:colOff>
      <xdr:row>10</xdr:row>
      <xdr:rowOff>209550</xdr:rowOff>
    </xdr:from>
    <xdr:to>
      <xdr:col>3</xdr:col>
      <xdr:colOff>1562100</xdr:colOff>
      <xdr:row>10</xdr:row>
      <xdr:rowOff>447675</xdr:rowOff>
    </xdr:to>
    <xdr:sp macro="[0]!Limpa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ED282554-1184-C8B4-F16E-D37391A40344}"/>
            </a:ext>
          </a:extLst>
        </xdr:cNvPr>
        <xdr:cNvSpPr/>
      </xdr:nvSpPr>
      <xdr:spPr>
        <a:xfrm>
          <a:off x="3686175" y="1838325"/>
          <a:ext cx="1257300" cy="2381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  <a:p>
          <a:pPr algn="ctr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welli@test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A7CF9-74F4-4433-9613-145643E6F6A4}">
  <sheetPr codeName="Planilha1"/>
  <dimension ref="B1:E15"/>
  <sheetViews>
    <sheetView showGridLines="0" workbookViewId="0">
      <selection activeCell="B15" sqref="B15"/>
    </sheetView>
  </sheetViews>
  <sheetFormatPr defaultRowHeight="15" x14ac:dyDescent="0.25"/>
  <cols>
    <col min="2" max="2" width="22.5703125" customWidth="1"/>
    <col min="3" max="3" width="19" customWidth="1"/>
    <col min="4" max="4" width="15.42578125" customWidth="1"/>
    <col min="5" max="5" width="17.42578125" customWidth="1"/>
  </cols>
  <sheetData>
    <row r="1" spans="2:5" ht="15.75" thickBot="1" x14ac:dyDescent="0.3">
      <c r="B1" s="15" t="s">
        <v>0</v>
      </c>
      <c r="C1" s="16"/>
      <c r="D1" s="16"/>
      <c r="E1" s="17"/>
    </row>
    <row r="2" spans="2:5" x14ac:dyDescent="0.25">
      <c r="B2" s="11"/>
      <c r="C2" s="12"/>
      <c r="D2" s="12"/>
      <c r="E2" s="13"/>
    </row>
    <row r="3" spans="2:5" x14ac:dyDescent="0.25">
      <c r="B3" s="2"/>
      <c r="E3" s="3"/>
    </row>
    <row r="4" spans="2:5" x14ac:dyDescent="0.25">
      <c r="B4" s="2" t="s">
        <v>1</v>
      </c>
      <c r="C4" s="4" t="s">
        <v>14</v>
      </c>
      <c r="E4" s="3"/>
    </row>
    <row r="5" spans="2:5" ht="7.5" customHeight="1" x14ac:dyDescent="0.25">
      <c r="B5" s="2"/>
      <c r="E5" s="3"/>
    </row>
    <row r="6" spans="2:5" x14ac:dyDescent="0.25">
      <c r="B6" s="2" t="s">
        <v>2</v>
      </c>
      <c r="C6" s="9">
        <v>34332</v>
      </c>
      <c r="E6" s="3"/>
    </row>
    <row r="7" spans="2:5" ht="7.5" customHeight="1" x14ac:dyDescent="0.25">
      <c r="B7" s="2"/>
      <c r="E7" s="3"/>
    </row>
    <row r="8" spans="2:5" x14ac:dyDescent="0.25">
      <c r="B8" s="2" t="s">
        <v>3</v>
      </c>
      <c r="C8" s="14" t="s">
        <v>15</v>
      </c>
      <c r="E8" s="3"/>
    </row>
    <row r="9" spans="2:5" ht="7.5" customHeight="1" x14ac:dyDescent="0.25">
      <c r="B9" s="2"/>
      <c r="E9" s="3"/>
    </row>
    <row r="10" spans="2:5" x14ac:dyDescent="0.25">
      <c r="B10" s="2" t="s">
        <v>4</v>
      </c>
      <c r="C10" s="4" t="s">
        <v>6</v>
      </c>
      <c r="E10" s="3"/>
    </row>
    <row r="11" spans="2:5" ht="45.75" customHeight="1" thickBot="1" x14ac:dyDescent="0.3">
      <c r="B11" s="5"/>
      <c r="C11" s="6"/>
      <c r="D11" s="6"/>
      <c r="E11" s="7"/>
    </row>
    <row r="14" spans="2:5" x14ac:dyDescent="0.25">
      <c r="B14" s="1" t="s">
        <v>1</v>
      </c>
      <c r="C14" s="1" t="s">
        <v>2</v>
      </c>
      <c r="D14" s="1" t="s">
        <v>5</v>
      </c>
      <c r="E14" s="1" t="s">
        <v>4</v>
      </c>
    </row>
    <row r="15" spans="2:5" x14ac:dyDescent="0.25">
      <c r="B15" s="1" t="str">
        <f>C4</f>
        <v>Welli</v>
      </c>
      <c r="C15" s="10">
        <f>C6</f>
        <v>34332</v>
      </c>
      <c r="D15" s="1" t="str">
        <f>C8</f>
        <v>welli@teste.com</v>
      </c>
      <c r="E15" s="1" t="str">
        <f>C10</f>
        <v>M</v>
      </c>
    </row>
  </sheetData>
  <mergeCells count="1">
    <mergeCell ref="B1:E1"/>
  </mergeCells>
  <dataValidations count="1">
    <dataValidation type="list" allowBlank="1" showInputMessage="1" showErrorMessage="1" sqref="C10" xr:uid="{0061E616-36A8-4B45-8741-05FD0E0877D9}">
      <formula1>"M,F"</formula1>
    </dataValidation>
  </dataValidations>
  <hyperlinks>
    <hyperlink ref="C8" r:id="rId1" xr:uid="{CE288D7D-85FE-4993-9EB0-E3490669522A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F9551-B367-4DAB-9F9B-CAF7BFD8D130}">
  <sheetPr codeName="Planilha2"/>
  <dimension ref="A1:E23"/>
  <sheetViews>
    <sheetView workbookViewId="0">
      <selection activeCell="A2" sqref="A2"/>
    </sheetView>
  </sheetViews>
  <sheetFormatPr defaultRowHeight="15" x14ac:dyDescent="0.25"/>
  <cols>
    <col min="1" max="1" width="18.28515625" customWidth="1"/>
    <col min="2" max="2" width="25.7109375" customWidth="1"/>
    <col min="3" max="3" width="19.7109375" customWidth="1"/>
  </cols>
  <sheetData>
    <row r="1" spans="1:5" x14ac:dyDescent="0.25">
      <c r="A1" s="1" t="s">
        <v>1</v>
      </c>
      <c r="B1" s="1" t="s">
        <v>2</v>
      </c>
      <c r="C1" s="1" t="s">
        <v>5</v>
      </c>
      <c r="D1" s="1" t="s">
        <v>4</v>
      </c>
      <c r="E1" s="1"/>
    </row>
    <row r="2" spans="1:5" x14ac:dyDescent="0.25">
      <c r="A2" s="1" t="s">
        <v>14</v>
      </c>
      <c r="B2" s="10">
        <v>34332</v>
      </c>
      <c r="C2" s="1" t="s">
        <v>15</v>
      </c>
      <c r="D2" s="1" t="s">
        <v>6</v>
      </c>
      <c r="E2" s="1"/>
    </row>
    <row r="3" spans="1:5" x14ac:dyDescent="0.25">
      <c r="A3" s="1" t="s">
        <v>12</v>
      </c>
      <c r="B3" s="10" t="s">
        <v>11</v>
      </c>
      <c r="C3" s="1" t="s">
        <v>13</v>
      </c>
      <c r="D3" s="1" t="s">
        <v>7</v>
      </c>
      <c r="E3" s="1"/>
    </row>
    <row r="4" spans="1:5" x14ac:dyDescent="0.25">
      <c r="A4" s="1" t="s">
        <v>10</v>
      </c>
      <c r="B4" s="10">
        <v>34332</v>
      </c>
      <c r="C4" s="1" t="s">
        <v>8</v>
      </c>
      <c r="D4" s="1" t="s">
        <v>6</v>
      </c>
      <c r="E4" s="1"/>
    </row>
    <row r="5" spans="1:5" x14ac:dyDescent="0.25">
      <c r="A5" s="1" t="s">
        <v>10</v>
      </c>
      <c r="B5" s="10">
        <v>34332</v>
      </c>
      <c r="C5" s="1" t="s">
        <v>8</v>
      </c>
      <c r="D5" s="1" t="s">
        <v>6</v>
      </c>
      <c r="E5" s="1"/>
    </row>
    <row r="6" spans="1:5" x14ac:dyDescent="0.25">
      <c r="A6" s="1" t="s">
        <v>10</v>
      </c>
      <c r="B6" s="10">
        <v>34332</v>
      </c>
      <c r="C6" s="1" t="s">
        <v>8</v>
      </c>
      <c r="D6" s="1" t="s">
        <v>6</v>
      </c>
      <c r="E6" s="1"/>
    </row>
    <row r="7" spans="1:5" x14ac:dyDescent="0.25">
      <c r="A7" s="1" t="s">
        <v>10</v>
      </c>
      <c r="B7" s="10">
        <v>34332</v>
      </c>
      <c r="C7" s="1" t="s">
        <v>8</v>
      </c>
      <c r="D7" s="1" t="s">
        <v>6</v>
      </c>
      <c r="E7" s="1"/>
    </row>
    <row r="8" spans="1:5" x14ac:dyDescent="0.25">
      <c r="A8" s="1" t="s">
        <v>10</v>
      </c>
      <c r="B8" s="10">
        <v>34332</v>
      </c>
      <c r="C8" s="1" t="s">
        <v>8</v>
      </c>
      <c r="D8" s="1" t="s">
        <v>6</v>
      </c>
      <c r="E8" s="1"/>
    </row>
    <row r="9" spans="1:5" x14ac:dyDescent="0.25">
      <c r="A9" s="1" t="s">
        <v>10</v>
      </c>
      <c r="B9" s="10">
        <v>34332</v>
      </c>
      <c r="C9" s="1" t="s">
        <v>8</v>
      </c>
      <c r="D9" s="1" t="s">
        <v>6</v>
      </c>
      <c r="E9" s="1"/>
    </row>
    <row r="10" spans="1:5" x14ac:dyDescent="0.25">
      <c r="A10" s="1" t="s">
        <v>10</v>
      </c>
      <c r="B10" s="10">
        <v>34332</v>
      </c>
      <c r="C10" s="1" t="s">
        <v>8</v>
      </c>
      <c r="D10" s="1" t="s">
        <v>6</v>
      </c>
      <c r="E10" s="1"/>
    </row>
    <row r="11" spans="1:5" x14ac:dyDescent="0.25">
      <c r="A11" s="1" t="s">
        <v>9</v>
      </c>
      <c r="B11" s="10">
        <v>34332</v>
      </c>
      <c r="C11" s="1" t="s">
        <v>8</v>
      </c>
      <c r="D11" s="1" t="s">
        <v>6</v>
      </c>
      <c r="E11" s="1"/>
    </row>
    <row r="12" spans="1:5" x14ac:dyDescent="0.25">
      <c r="A12" s="1" t="s">
        <v>9</v>
      </c>
      <c r="B12" s="10">
        <v>34332</v>
      </c>
      <c r="C12" s="1" t="s">
        <v>8</v>
      </c>
      <c r="D12" s="1" t="s">
        <v>6</v>
      </c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B23" s="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001B7-DA13-4CF9-B729-78341143C54B}">
  <dimension ref="A1:J10"/>
  <sheetViews>
    <sheetView tabSelected="1" workbookViewId="0">
      <selection activeCell="C3" sqref="C3"/>
    </sheetView>
  </sheetViews>
  <sheetFormatPr defaultRowHeight="15" x14ac:dyDescent="0.25"/>
  <cols>
    <col min="3" max="3" width="13.42578125" customWidth="1"/>
    <col min="5" max="5" width="11.140625" customWidth="1"/>
    <col min="10" max="10" width="9.5703125" bestFit="1" customWidth="1"/>
  </cols>
  <sheetData>
    <row r="1" spans="1:10" x14ac:dyDescent="0.25">
      <c r="A1" t="s">
        <v>16</v>
      </c>
      <c r="H1" t="s">
        <v>16</v>
      </c>
    </row>
    <row r="2" spans="1:10" x14ac:dyDescent="0.25">
      <c r="A2" t="s">
        <v>17</v>
      </c>
      <c r="B2" t="s">
        <v>18</v>
      </c>
      <c r="C2" t="s">
        <v>27</v>
      </c>
      <c r="D2" t="s">
        <v>24</v>
      </c>
      <c r="E2" t="s">
        <v>25</v>
      </c>
      <c r="H2" t="s">
        <v>17</v>
      </c>
      <c r="I2" t="s">
        <v>18</v>
      </c>
      <c r="J2" t="s">
        <v>19</v>
      </c>
    </row>
    <row r="3" spans="1:10" x14ac:dyDescent="0.25">
      <c r="A3">
        <v>1</v>
      </c>
      <c r="B3" t="str">
        <f>VLOOKUP(A3,$H$3:$J$6,2)</f>
        <v>Pastel</v>
      </c>
      <c r="C3" s="18">
        <f>VLOOKUP(A3,$H$3:$J$6,3)</f>
        <v>10</v>
      </c>
      <c r="D3">
        <v>1</v>
      </c>
      <c r="E3" s="19">
        <f>C3*D3</f>
        <v>10</v>
      </c>
      <c r="H3">
        <v>0</v>
      </c>
      <c r="I3" t="s">
        <v>20</v>
      </c>
      <c r="J3" s="18">
        <v>0</v>
      </c>
    </row>
    <row r="4" spans="1:10" x14ac:dyDescent="0.25">
      <c r="A4">
        <v>2</v>
      </c>
      <c r="B4" t="str">
        <f t="shared" ref="B4:B9" si="0">VLOOKUP(A4,$H$3:$J$6,2)</f>
        <v>Coxinha</v>
      </c>
      <c r="C4" s="18">
        <f t="shared" ref="C4:C9" si="1">VLOOKUP(A4,$H$3:$J$6,3)</f>
        <v>15</v>
      </c>
      <c r="D4">
        <v>2</v>
      </c>
      <c r="E4">
        <f t="shared" ref="E4:E9" si="2">C4*D4</f>
        <v>30</v>
      </c>
      <c r="H4">
        <v>1</v>
      </c>
      <c r="I4" t="s">
        <v>21</v>
      </c>
      <c r="J4" s="18">
        <v>10</v>
      </c>
    </row>
    <row r="5" spans="1:10" x14ac:dyDescent="0.25">
      <c r="B5" t="str">
        <f t="shared" si="0"/>
        <v>xxx</v>
      </c>
      <c r="C5" s="18">
        <f t="shared" si="1"/>
        <v>0</v>
      </c>
      <c r="E5">
        <f t="shared" si="2"/>
        <v>0</v>
      </c>
      <c r="H5">
        <v>2</v>
      </c>
      <c r="I5" t="s">
        <v>22</v>
      </c>
      <c r="J5" s="18">
        <v>15</v>
      </c>
    </row>
    <row r="6" spans="1:10" x14ac:dyDescent="0.25">
      <c r="B6" t="str">
        <f t="shared" si="0"/>
        <v>xxx</v>
      </c>
      <c r="C6" s="18">
        <f t="shared" si="1"/>
        <v>0</v>
      </c>
      <c r="E6">
        <f t="shared" si="2"/>
        <v>0</v>
      </c>
      <c r="H6">
        <v>3</v>
      </c>
      <c r="I6" t="s">
        <v>23</v>
      </c>
      <c r="J6" s="18">
        <v>12</v>
      </c>
    </row>
    <row r="7" spans="1:10" x14ac:dyDescent="0.25">
      <c r="B7" t="str">
        <f t="shared" si="0"/>
        <v>xxx</v>
      </c>
      <c r="C7" s="18">
        <f t="shared" si="1"/>
        <v>0</v>
      </c>
      <c r="E7">
        <f t="shared" si="2"/>
        <v>0</v>
      </c>
    </row>
    <row r="8" spans="1:10" x14ac:dyDescent="0.25">
      <c r="B8" t="str">
        <f t="shared" si="0"/>
        <v>xxx</v>
      </c>
      <c r="C8" s="18">
        <f t="shared" si="1"/>
        <v>0</v>
      </c>
      <c r="E8">
        <f t="shared" si="2"/>
        <v>0</v>
      </c>
    </row>
    <row r="9" spans="1:10" x14ac:dyDescent="0.25">
      <c r="B9" t="str">
        <f t="shared" si="0"/>
        <v>xxx</v>
      </c>
      <c r="C9" s="18">
        <f t="shared" si="1"/>
        <v>0</v>
      </c>
      <c r="E9">
        <f t="shared" si="2"/>
        <v>0</v>
      </c>
    </row>
    <row r="10" spans="1:10" x14ac:dyDescent="0.25">
      <c r="D10" t="s">
        <v>26</v>
      </c>
      <c r="E10">
        <f>SUM(E3:E9)</f>
        <v>40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961bfb0-077a-48f3-b3a8-28880a00c35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3213D9F94826D42BC9EF0DBA8180378" ma:contentTypeVersion="6" ma:contentTypeDescription="Crie um novo documento." ma:contentTypeScope="" ma:versionID="c7ba906566d3ba41c808eb0d16bac30f">
  <xsd:schema xmlns:xsd="http://www.w3.org/2001/XMLSchema" xmlns:xs="http://www.w3.org/2001/XMLSchema" xmlns:p="http://schemas.microsoft.com/office/2006/metadata/properties" xmlns:ns3="5961bfb0-077a-48f3-b3a8-28880a00c350" targetNamespace="http://schemas.microsoft.com/office/2006/metadata/properties" ma:root="true" ma:fieldsID="fb87afdc9e46d9420d2c998c7b6f5b7a" ns3:_="">
    <xsd:import namespace="5961bfb0-077a-48f3-b3a8-28880a00c350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61bfb0-077a-48f3-b3a8-28880a00c350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1E6293-60E9-4F4F-B2E6-4213AEE339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785299-E463-4F59-BA8B-BF51F7BCFA85}">
  <ds:schemaRefs>
    <ds:schemaRef ds:uri="http://www.w3.org/XML/1998/namespace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5961bfb0-077a-48f3-b3a8-28880a00c350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26D2569-9C37-439B-88E9-5CF1EE1580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61bfb0-077a-48f3-b3a8-28880a00c3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Cadastro</vt:lpstr>
      <vt:lpstr>Base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Fernando Spoljaric</dc:creator>
  <cp:lastModifiedBy>Luis Fernando Spoljaric</cp:lastModifiedBy>
  <dcterms:created xsi:type="dcterms:W3CDTF">2025-03-17T11:00:50Z</dcterms:created>
  <dcterms:modified xsi:type="dcterms:W3CDTF">2025-03-19T19:14:37Z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0x01010093213D9F94826D42BC9EF0DBA8180378</vt:lpwstr>
  </property>
</Properties>
</file>