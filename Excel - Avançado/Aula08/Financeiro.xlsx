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isf\Downloads\"/>
    </mc:Choice>
  </mc:AlternateContent>
  <xr:revisionPtr revIDLastSave="0" documentId="13_ncr:1_{6718BD5C-6BC5-45CD-8A15-8E64C4DCCC6B}" xr6:coauthVersionLast="47" xr6:coauthVersionMax="47" xr10:uidLastSave="{00000000-0000-0000-0000-000000000000}"/>
  <bookViews>
    <workbookView xWindow="-120" yWindow="-120" windowWidth="20730" windowHeight="11310" activeTab="4" xr2:uid="{EA89E1DF-5C92-4AC8-A424-07E35E2B87D2}"/>
  </bookViews>
  <sheets>
    <sheet name="Funções" sheetId="1" r:id="rId1"/>
    <sheet name="PGTO" sheetId="2" r:id="rId2"/>
    <sheet name="NPER" sheetId="3" r:id="rId3"/>
    <sheet name="TAXA" sheetId="4" r:id="rId4"/>
    <sheet name="VF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4" l="1"/>
  <c r="C9" i="4" s="1"/>
  <c r="B8" i="2"/>
  <c r="B5" i="2"/>
  <c r="B6" i="2" s="1"/>
  <c r="B7" i="2" s="1"/>
  <c r="F8" i="5"/>
  <c r="C8" i="5"/>
  <c r="F9" i="4"/>
  <c r="F5" i="3"/>
  <c r="C5" i="3"/>
  <c r="B9" i="2"/>
</calcChain>
</file>

<file path=xl/sharedStrings.xml><?xml version="1.0" encoding="utf-8"?>
<sst xmlns="http://schemas.openxmlformats.org/spreadsheetml/2006/main" count="47" uniqueCount="20">
  <si>
    <t>Funções financeiras</t>
  </si>
  <si>
    <t>PGTO</t>
  </si>
  <si>
    <t>NPER</t>
  </si>
  <si>
    <t>TAXA</t>
  </si>
  <si>
    <t>PGTOCAPACUM</t>
  </si>
  <si>
    <t>PGTOJURACUM</t>
  </si>
  <si>
    <t>VE</t>
  </si>
  <si>
    <t>Tempo</t>
  </si>
  <si>
    <t>Taxa</t>
  </si>
  <si>
    <t>Valor Presente</t>
  </si>
  <si>
    <t>Valor da Parcela</t>
  </si>
  <si>
    <t>Total</t>
  </si>
  <si>
    <t>Total de Juros</t>
  </si>
  <si>
    <t>Pagamento de Juros acumulados</t>
  </si>
  <si>
    <t>Pagamento do capital acumulado, descobrir o valor do emprestimo.</t>
  </si>
  <si>
    <t>Valor Parcela</t>
  </si>
  <si>
    <t>Valor Futuro</t>
  </si>
  <si>
    <t>Aplicando um valor uma vez apenas</t>
  </si>
  <si>
    <t>Deposito 1k reais todo mês</t>
  </si>
  <si>
    <t>Redendo 2% ao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</si>
</sst>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2" applyNumberFormat="1" applyFont="1" applyBorder="1"/>
    <xf numFmtId="164" fontId="0" fillId="0" borderId="1" xfId="0" applyNumberFormat="1" applyBorder="1"/>
    <xf numFmtId="10" fontId="0" fillId="0" borderId="1" xfId="2" applyNumberFormat="1" applyFont="1" applyBorder="1"/>
    <xf numFmtId="9" fontId="0" fillId="0" borderId="1" xfId="0" applyNumberFormat="1" applyBorder="1"/>
    <xf numFmtId="164" fontId="0" fillId="0" borderId="0" xfId="0" applyNumberFormat="1"/>
    <xf numFmtId="10" fontId="0" fillId="0" borderId="1" xfId="0" applyNumberFormat="1" applyBorder="1"/>
    <xf numFmtId="8" fontId="0" fillId="0" borderId="1" xfId="0" applyNumberFormat="1" applyBorder="1"/>
    <xf numFmtId="0" fontId="0" fillId="0" borderId="0" xfId="0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1E4E-7009-4F8E-9FA8-25EA1F212688}">
  <dimension ref="A1:J7"/>
  <sheetViews>
    <sheetView workbookViewId="0">
      <selection activeCell="A2" sqref="A2"/>
    </sheetView>
  </sheetViews>
  <sheetFormatPr defaultRowHeight="15" x14ac:dyDescent="0.25"/>
  <cols>
    <col min="1" max="1" width="14.5703125" bestFit="1" customWidth="1"/>
  </cols>
  <sheetData>
    <row r="1" spans="1:10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5" spans="1:10" x14ac:dyDescent="0.25">
      <c r="A5" t="s">
        <v>4</v>
      </c>
    </row>
    <row r="6" spans="1:10" x14ac:dyDescent="0.25">
      <c r="A6" t="s">
        <v>5</v>
      </c>
    </row>
    <row r="7" spans="1:10" x14ac:dyDescent="0.25">
      <c r="A7" t="s">
        <v>6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4AF7-90F1-4E36-9D79-53A8B4F24B66}">
  <dimension ref="A2:C9"/>
  <sheetViews>
    <sheetView workbookViewId="0">
      <selection activeCell="B9" sqref="B9"/>
    </sheetView>
  </sheetViews>
  <sheetFormatPr defaultRowHeight="15" x14ac:dyDescent="0.25"/>
  <cols>
    <col min="1" max="1" width="17" customWidth="1"/>
    <col min="2" max="2" width="26.85546875" customWidth="1"/>
    <col min="3" max="3" width="62.85546875" bestFit="1" customWidth="1"/>
  </cols>
  <sheetData>
    <row r="2" spans="1:3" x14ac:dyDescent="0.25">
      <c r="A2" s="1" t="s">
        <v>7</v>
      </c>
      <c r="B2" s="4">
        <v>12</v>
      </c>
    </row>
    <row r="3" spans="1:3" x14ac:dyDescent="0.25">
      <c r="A3" s="1" t="s">
        <v>8</v>
      </c>
      <c r="B3" s="2">
        <v>1.4999999999999999E-2</v>
      </c>
    </row>
    <row r="4" spans="1:3" x14ac:dyDescent="0.25">
      <c r="A4" s="1" t="s">
        <v>9</v>
      </c>
      <c r="B4" s="3">
        <v>10000</v>
      </c>
    </row>
    <row r="5" spans="1:3" x14ac:dyDescent="0.25">
      <c r="A5" s="1" t="s">
        <v>10</v>
      </c>
      <c r="B5" s="3">
        <f>PMT(B3,B2,B4,,0)</f>
        <v>-916.79992906228938</v>
      </c>
    </row>
    <row r="6" spans="1:3" x14ac:dyDescent="0.25">
      <c r="A6" s="1" t="s">
        <v>11</v>
      </c>
      <c r="B6" s="5">
        <f>(B2*B5)*-1</f>
        <v>11001.599148747473</v>
      </c>
    </row>
    <row r="7" spans="1:3" x14ac:dyDescent="0.25">
      <c r="A7" s="1" t="s">
        <v>12</v>
      </c>
      <c r="B7" s="5">
        <f>B6-B4</f>
        <v>1001.599148747473</v>
      </c>
    </row>
    <row r="8" spans="1:3" x14ac:dyDescent="0.25">
      <c r="A8" s="1" t="s">
        <v>5</v>
      </c>
      <c r="B8" s="5">
        <f>CUMIPMT(B3,B2,B4,1,12,0)*-1</f>
        <v>1001.5991487474748</v>
      </c>
      <c r="C8" t="s">
        <v>13</v>
      </c>
    </row>
    <row r="9" spans="1:3" x14ac:dyDescent="0.25">
      <c r="A9" s="1" t="s">
        <v>4</v>
      </c>
      <c r="B9" s="5">
        <f>CUMPRINC(B3,B2,B4,1,B2,0)</f>
        <v>-9999.9999999999982</v>
      </c>
      <c r="C9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9A13-6314-4458-85D8-A02FA796B711}">
  <dimension ref="B5:F8"/>
  <sheetViews>
    <sheetView workbookViewId="0">
      <selection activeCell="C5" sqref="C5"/>
    </sheetView>
  </sheetViews>
  <sheetFormatPr defaultRowHeight="15" x14ac:dyDescent="0.25"/>
  <cols>
    <col min="2" max="2" width="13.85546875" bestFit="1" customWidth="1"/>
    <col min="3" max="3" width="16.7109375" customWidth="1"/>
    <col min="4" max="4" width="6.42578125" customWidth="1"/>
    <col min="5" max="5" width="13.85546875" bestFit="1" customWidth="1"/>
    <col min="6" max="6" width="15.85546875" customWidth="1"/>
  </cols>
  <sheetData>
    <row r="5" spans="2:6" x14ac:dyDescent="0.25">
      <c r="B5" s="1" t="s">
        <v>7</v>
      </c>
      <c r="C5" s="1">
        <f>NPER(C6,C8,C7)</f>
        <v>11.999998983382698</v>
      </c>
      <c r="E5" s="1" t="s">
        <v>7</v>
      </c>
      <c r="F5" s="1">
        <f>NPER(F6,-F8,F7)</f>
        <v>14.182433492323353</v>
      </c>
    </row>
    <row r="6" spans="2:6" x14ac:dyDescent="0.25">
      <c r="B6" s="1" t="s">
        <v>8</v>
      </c>
      <c r="C6" s="6">
        <v>1.4999999999999999E-2</v>
      </c>
      <c r="E6" s="1" t="s">
        <v>8</v>
      </c>
      <c r="F6" s="6">
        <v>0.02</v>
      </c>
    </row>
    <row r="7" spans="2:6" x14ac:dyDescent="0.25">
      <c r="B7" s="1" t="s">
        <v>9</v>
      </c>
      <c r="C7" s="7">
        <v>10000</v>
      </c>
      <c r="E7" s="1" t="s">
        <v>9</v>
      </c>
      <c r="F7" s="7">
        <v>10000</v>
      </c>
    </row>
    <row r="8" spans="2:6" x14ac:dyDescent="0.25">
      <c r="B8" s="1" t="s">
        <v>15</v>
      </c>
      <c r="C8" s="7">
        <v>-916.8</v>
      </c>
      <c r="E8" s="1" t="s">
        <v>15</v>
      </c>
      <c r="F8" s="7">
        <v>816.8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7C0F-E10B-40E7-AC7C-F74FE5AACCA1}">
  <dimension ref="B5:F9"/>
  <sheetViews>
    <sheetView workbookViewId="0">
      <selection activeCell="C6" sqref="C6"/>
    </sheetView>
  </sheetViews>
  <sheetFormatPr defaultRowHeight="15" x14ac:dyDescent="0.25"/>
  <cols>
    <col min="2" max="2" width="15.7109375" bestFit="1" customWidth="1"/>
    <col min="3" max="3" width="14.85546875" customWidth="1"/>
    <col min="5" max="5" width="15.7109375" bestFit="1" customWidth="1"/>
    <col min="6" max="6" width="11.7109375" bestFit="1" customWidth="1"/>
  </cols>
  <sheetData>
    <row r="5" spans="2:6" x14ac:dyDescent="0.25">
      <c r="B5" s="1" t="s">
        <v>7</v>
      </c>
      <c r="C5" s="1">
        <v>12</v>
      </c>
      <c r="E5" s="1" t="s">
        <v>7</v>
      </c>
      <c r="F5" s="1">
        <v>24</v>
      </c>
    </row>
    <row r="6" spans="2:6" x14ac:dyDescent="0.25">
      <c r="B6" s="1" t="s">
        <v>8</v>
      </c>
      <c r="C6" s="9">
        <f>RATE(C5,C8,C7)</f>
        <v>1.5000012421709102E-2</v>
      </c>
      <c r="E6" s="1" t="s">
        <v>8</v>
      </c>
      <c r="F6" s="11">
        <v>6.2700000000000006E-2</v>
      </c>
    </row>
    <row r="7" spans="2:6" x14ac:dyDescent="0.25">
      <c r="B7" s="1" t="s">
        <v>9</v>
      </c>
      <c r="C7" s="7">
        <v>10000</v>
      </c>
      <c r="E7" s="1" t="s">
        <v>9</v>
      </c>
      <c r="F7" s="7">
        <v>10000</v>
      </c>
    </row>
    <row r="8" spans="2:6" x14ac:dyDescent="0.25">
      <c r="B8" s="1" t="s">
        <v>10</v>
      </c>
      <c r="C8" s="7">
        <v>-916.8</v>
      </c>
      <c r="E8" s="1" t="s">
        <v>10</v>
      </c>
      <c r="F8" s="7">
        <v>-816.8</v>
      </c>
    </row>
    <row r="9" spans="2:6" x14ac:dyDescent="0.25">
      <c r="B9" t="s">
        <v>5</v>
      </c>
      <c r="C9" s="10">
        <f>CUMIPMT(C6,C5,C7,1,12,0)</f>
        <v>-1001.6000000262666</v>
      </c>
      <c r="E9" t="s">
        <v>5</v>
      </c>
      <c r="F9" s="10">
        <f>CUMIPMT(F6,F5,F7,1,24,0)</f>
        <v>-9602.6970302758891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FE7E-DAF6-4E61-BE09-05BCF9F2A04B}">
  <dimension ref="B1:F11"/>
  <sheetViews>
    <sheetView tabSelected="1" workbookViewId="0">
      <selection activeCell="F8" sqref="F8"/>
    </sheetView>
  </sheetViews>
  <sheetFormatPr defaultRowHeight="15" x14ac:dyDescent="0.25"/>
  <cols>
    <col min="2" max="2" width="17.7109375" customWidth="1"/>
    <col min="3" max="3" width="17.140625" customWidth="1"/>
    <col min="5" max="6" width="15.7109375" customWidth="1"/>
  </cols>
  <sheetData>
    <row r="1" spans="2:6" x14ac:dyDescent="0.25">
      <c r="B1" t="s">
        <v>16</v>
      </c>
    </row>
    <row r="5" spans="2:6" x14ac:dyDescent="0.25">
      <c r="B5" s="1" t="s">
        <v>7</v>
      </c>
      <c r="C5" s="1">
        <v>12</v>
      </c>
      <c r="E5" s="1" t="s">
        <v>7</v>
      </c>
      <c r="F5" s="1">
        <v>24</v>
      </c>
    </row>
    <row r="6" spans="2:6" x14ac:dyDescent="0.25">
      <c r="B6" s="1" t="s">
        <v>8</v>
      </c>
      <c r="C6" s="8">
        <v>0.02</v>
      </c>
      <c r="E6" s="1" t="s">
        <v>8</v>
      </c>
      <c r="F6" s="8">
        <v>0.02</v>
      </c>
    </row>
    <row r="7" spans="2:6" x14ac:dyDescent="0.25">
      <c r="B7" s="1" t="s">
        <v>9</v>
      </c>
      <c r="C7" s="7">
        <v>1000</v>
      </c>
      <c r="E7" s="1" t="s">
        <v>9</v>
      </c>
      <c r="F7" s="7">
        <v>1000</v>
      </c>
    </row>
    <row r="8" spans="2:6" x14ac:dyDescent="0.25">
      <c r="B8" s="1" t="s">
        <v>16</v>
      </c>
      <c r="C8" s="12">
        <f>FV(C6,C5,,C7)*-1</f>
        <v>1268.2417945625452</v>
      </c>
      <c r="E8" s="1" t="s">
        <v>16</v>
      </c>
      <c r="F8" s="12">
        <f>FV(F6,F5,F7)*-1</f>
        <v>30421.862473761252</v>
      </c>
    </row>
    <row r="10" spans="2:6" x14ac:dyDescent="0.25">
      <c r="B10" t="s">
        <v>17</v>
      </c>
      <c r="E10" t="s">
        <v>18</v>
      </c>
    </row>
    <row r="11" spans="2:6" x14ac:dyDescent="0.25">
      <c r="E1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Funções</vt:lpstr>
      <vt:lpstr>PGTO</vt:lpstr>
      <vt:lpstr>NPER</vt:lpstr>
      <vt:lpstr>TAXA</vt:lpstr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DE OLIVEIRA ALVES FERREIRA</dc:creator>
  <cp:lastModifiedBy>Luis Fernando Spoljaric</cp:lastModifiedBy>
  <dcterms:created xsi:type="dcterms:W3CDTF">2025-04-09T18:49:36Z</dcterms:created>
  <dcterms:modified xsi:type="dcterms:W3CDTF">2025-04-10T01:01:55Z</dcterms:modified>
</cp:coreProperties>
</file>