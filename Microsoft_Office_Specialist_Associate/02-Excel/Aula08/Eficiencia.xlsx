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f\Desktop\"/>
    </mc:Choice>
  </mc:AlternateContent>
  <xr:revisionPtr revIDLastSave="0" documentId="8_{CBDB7D17-F7A0-43C4-AAA9-9BDF7846B5E8}" xr6:coauthVersionLast="47" xr6:coauthVersionMax="47" xr10:uidLastSave="{00000000-0000-0000-0000-000000000000}"/>
  <bookViews>
    <workbookView xWindow="-120" yWindow="-120" windowWidth="20730" windowHeight="11310" xr2:uid="{5ED1698B-09E0-45C3-B9B4-186622A8524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E4" i="2"/>
  <c r="D5" i="2"/>
  <c r="E5" i="2"/>
  <c r="F5" i="2"/>
  <c r="H4" i="1" s="1"/>
  <c r="G5" i="2"/>
  <c r="C5" i="2"/>
  <c r="C4" i="2"/>
  <c r="E4" i="1" s="1"/>
  <c r="D4" i="2"/>
  <c r="F4" i="1" s="1"/>
  <c r="F4" i="2"/>
  <c r="G4" i="2"/>
  <c r="I4" i="1" s="1"/>
  <c r="G4" i="1" l="1"/>
  <c r="G5" i="1" s="1"/>
  <c r="E6" i="1"/>
  <c r="H5" i="1"/>
  <c r="F6" i="1"/>
  <c r="F7" i="1" s="1"/>
  <c r="E7" i="1" l="1"/>
  <c r="E5" i="1"/>
  <c r="F5" i="1"/>
  <c r="G6" i="1"/>
  <c r="H6" i="1"/>
  <c r="H7" i="1" s="1"/>
  <c r="G7" i="1" l="1"/>
  <c r="I6" i="1" l="1"/>
  <c r="I5" i="1"/>
  <c r="I7" i="1" l="1"/>
  <c r="E10" i="1"/>
  <c r="F10" i="1"/>
  <c r="G10" i="1" s="1"/>
  <c r="F11" i="1" l="1"/>
  <c r="G11" i="1" s="1"/>
  <c r="E11" i="1"/>
</calcChain>
</file>

<file path=xl/sharedStrings.xml><?xml version="1.0" encoding="utf-8"?>
<sst xmlns="http://schemas.openxmlformats.org/spreadsheetml/2006/main" count="20" uniqueCount="17">
  <si>
    <t>Máquina A</t>
  </si>
  <si>
    <t>Qtde</t>
  </si>
  <si>
    <t>Hora</t>
  </si>
  <si>
    <t>Minutos</t>
  </si>
  <si>
    <t>Qtd de produção</t>
  </si>
  <si>
    <t>Eficiência</t>
  </si>
  <si>
    <t>Tempo de produção</t>
  </si>
  <si>
    <t>Tempo de não Produção</t>
  </si>
  <si>
    <t>Tempo médio</t>
  </si>
  <si>
    <t>Produção</t>
  </si>
  <si>
    <t>Não Produção</t>
  </si>
  <si>
    <t>Total</t>
  </si>
  <si>
    <t>Máquina B</t>
  </si>
  <si>
    <t>Máquina C</t>
  </si>
  <si>
    <t>Máquinas</t>
  </si>
  <si>
    <t>Horas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</si>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</sst>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20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0" fillId="2" borderId="1" xfId="0" applyFill="1" applyBorder="1"/>
    <xf numFmtId="0" fontId="0" fillId="2" borderId="3" xfId="0" applyFill="1" applyBorder="1"/>
    <xf numFmtId="1" fontId="0" fillId="2" borderId="0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2" fillId="3" borderId="9" xfId="0" applyFont="1" applyFill="1" applyBorder="1"/>
    <xf numFmtId="20" fontId="0" fillId="4" borderId="9" xfId="0" applyNumberFormat="1" applyFill="1" applyBorder="1"/>
    <xf numFmtId="0" fontId="0" fillId="4" borderId="9" xfId="0" applyFill="1" applyBorder="1"/>
    <xf numFmtId="164" fontId="0" fillId="4" borderId="9" xfId="1" applyNumberFormat="1" applyFont="1" applyFill="1" applyBorder="1"/>
    <xf numFmtId="1" fontId="0" fillId="4" borderId="9" xfId="0" applyNumberFormat="1" applyFill="1" applyBorder="1"/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B0E4-BA37-4CE3-901E-6CC420A35246}">
  <dimension ref="A1:I11"/>
  <sheetViews>
    <sheetView tabSelected="1" workbookViewId="0">
      <selection activeCell="D1" sqref="D1"/>
    </sheetView>
  </sheetViews>
  <sheetFormatPr defaultRowHeight="15" x14ac:dyDescent="0.25"/>
  <cols>
    <col min="1" max="1" width="18.28515625" customWidth="1"/>
    <col min="2" max="2" width="19.85546875" customWidth="1"/>
    <col min="4" max="4" width="22.85546875" bestFit="1" customWidth="1"/>
    <col min="5" max="5" width="13" customWidth="1"/>
    <col min="6" max="6" width="9.140625" customWidth="1"/>
    <col min="7" max="7" width="11.5703125" bestFit="1" customWidth="1"/>
  </cols>
  <sheetData>
    <row r="1" spans="1:9" x14ac:dyDescent="0.25">
      <c r="D1" t="s">
        <v>0</v>
      </c>
    </row>
    <row r="2" spans="1:9" x14ac:dyDescent="0.25">
      <c r="A2" t="s">
        <v>14</v>
      </c>
      <c r="B2" t="s">
        <v>1</v>
      </c>
    </row>
    <row r="3" spans="1:9" x14ac:dyDescent="0.25">
      <c r="A3" t="s">
        <v>2</v>
      </c>
      <c r="B3">
        <v>30000</v>
      </c>
      <c r="D3" s="11" t="s">
        <v>2</v>
      </c>
      <c r="E3" s="12">
        <v>0.33333333333333331</v>
      </c>
      <c r="F3" s="12">
        <v>0.375</v>
      </c>
      <c r="G3" s="12">
        <v>0.41666666666666702</v>
      </c>
      <c r="H3" s="12">
        <v>0.45833333333333298</v>
      </c>
      <c r="I3" s="12">
        <v>0.5</v>
      </c>
    </row>
    <row r="4" spans="1:9" x14ac:dyDescent="0.25">
      <c r="A4" t="s">
        <v>3</v>
      </c>
      <c r="B4">
        <f>B3/60</f>
        <v>500</v>
      </c>
      <c r="D4" s="11" t="s">
        <v>4</v>
      </c>
      <c r="E4" s="13">
        <f>VLOOKUP($D$1,Planilha2!$B:$G,COLUMN(B1),0)</f>
        <v>27000</v>
      </c>
      <c r="F4" s="13">
        <f>VLOOKUP($D$1,Planilha2!$B:$G,COLUMN(C1),0)</f>
        <v>12000</v>
      </c>
      <c r="G4" s="13">
        <f>VLOOKUP($D$1,Planilha2!$B:$G,COLUMN(D1),0)</f>
        <v>21000</v>
      </c>
      <c r="H4" s="13">
        <f>VLOOKUP($D$1,Planilha2!$B:$G,COLUMN(E1),0)</f>
        <v>25000</v>
      </c>
      <c r="I4" s="13">
        <f>VLOOKUP($D$1,Planilha2!$B:$G,COLUMN(F1),0)</f>
        <v>29000</v>
      </c>
    </row>
    <row r="5" spans="1:9" x14ac:dyDescent="0.25">
      <c r="D5" s="11" t="s">
        <v>5</v>
      </c>
      <c r="E5" s="14">
        <f>E4/$B$3</f>
        <v>0.9</v>
      </c>
      <c r="F5" s="14">
        <f>F4/$B$3</f>
        <v>0.4</v>
      </c>
      <c r="G5" s="14">
        <f>G4/$B$3</f>
        <v>0.7</v>
      </c>
      <c r="H5" s="14">
        <f>H4/$B$3</f>
        <v>0.83333333333333337</v>
      </c>
      <c r="I5" s="14">
        <f>I4/$B$3</f>
        <v>0.96666666666666667</v>
      </c>
    </row>
    <row r="6" spans="1:9" x14ac:dyDescent="0.25">
      <c r="D6" s="11" t="s">
        <v>6</v>
      </c>
      <c r="E6" s="15">
        <f>E4/$B$4</f>
        <v>54</v>
      </c>
      <c r="F6" s="15">
        <f>F4/$B$4</f>
        <v>24</v>
      </c>
      <c r="G6" s="15">
        <f>G4/$B$4</f>
        <v>42</v>
      </c>
      <c r="H6" s="15">
        <f>H4/$B$4</f>
        <v>50</v>
      </c>
      <c r="I6" s="15">
        <f>I4/$B$4</f>
        <v>58</v>
      </c>
    </row>
    <row r="7" spans="1:9" x14ac:dyDescent="0.25">
      <c r="D7" s="11" t="s">
        <v>7</v>
      </c>
      <c r="E7" s="15">
        <f>60-E6</f>
        <v>6</v>
      </c>
      <c r="F7" s="15">
        <f t="shared" ref="F7:I7" si="0">60-F6</f>
        <v>36</v>
      </c>
      <c r="G7" s="15">
        <f t="shared" si="0"/>
        <v>18</v>
      </c>
      <c r="H7" s="15">
        <f t="shared" si="0"/>
        <v>10</v>
      </c>
      <c r="I7" s="15">
        <f t="shared" si="0"/>
        <v>2</v>
      </c>
    </row>
    <row r="8" spans="1:9" ht="15.75" thickBot="1" x14ac:dyDescent="0.3"/>
    <row r="9" spans="1:9" ht="15.75" thickBot="1" x14ac:dyDescent="0.3">
      <c r="D9" s="2" t="s">
        <v>8</v>
      </c>
      <c r="E9" s="3" t="s">
        <v>16</v>
      </c>
      <c r="F9" s="3" t="s">
        <v>11</v>
      </c>
      <c r="G9" s="4" t="s">
        <v>15</v>
      </c>
    </row>
    <row r="10" spans="1:9" x14ac:dyDescent="0.25">
      <c r="D10" s="5" t="s">
        <v>9</v>
      </c>
      <c r="E10" s="7">
        <f>AVERAGE(E6:I6)</f>
        <v>45.6</v>
      </c>
      <c r="F10" s="7">
        <f>SUM(E6:I6)</f>
        <v>228</v>
      </c>
      <c r="G10" s="8">
        <f>F10/60</f>
        <v>3.8</v>
      </c>
    </row>
    <row r="11" spans="1:9" ht="15.75" thickBot="1" x14ac:dyDescent="0.3">
      <c r="D11" s="6" t="s">
        <v>10</v>
      </c>
      <c r="E11" s="9">
        <f>AVERAGE(E7:I7)</f>
        <v>14.4</v>
      </c>
      <c r="F11" s="9">
        <f>SUM(E7:I7)</f>
        <v>72</v>
      </c>
      <c r="G11" s="10">
        <f>F11/60</f>
        <v>1.2</v>
      </c>
    </row>
  </sheetData>
  <conditionalFormatting sqref="E5:I5">
    <cfRule type="cellIs" dxfId="1" priority="1" operator="lessThan">
      <formula>0.85</formula>
    </cfRule>
    <cfRule type="cellIs" dxfId="0" priority="2" operator="lessThan">
      <formula>0.817</formula>
    </cfRule>
  </conditionalFormatting>
  <dataValidations count="1">
    <dataValidation type="list" allowBlank="1" showInputMessage="1" showErrorMessage="1" sqref="D1" xr:uid="{F7C0551A-59BB-4094-9A20-CF02E36BF57B}">
      <formula1>"Máquina A,Máquina B,Máquina C"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F8A6-5719-4267-81AB-F5F41CFE72CE}">
  <dimension ref="B2:G5"/>
  <sheetViews>
    <sheetView workbookViewId="0">
      <selection activeCell="G5" sqref="G5"/>
    </sheetView>
  </sheetViews>
  <sheetFormatPr defaultRowHeight="15" x14ac:dyDescent="0.25"/>
  <cols>
    <col min="2" max="2" width="19.28515625" customWidth="1"/>
  </cols>
  <sheetData>
    <row r="2" spans="2:7" x14ac:dyDescent="0.25">
      <c r="B2" t="s">
        <v>14</v>
      </c>
      <c r="C2" s="1">
        <v>0.33333333333333331</v>
      </c>
      <c r="D2" s="1">
        <v>0.375</v>
      </c>
      <c r="E2" s="1">
        <v>0.41666666666666702</v>
      </c>
      <c r="F2" s="1">
        <v>0.45833333333333298</v>
      </c>
      <c r="G2" s="1">
        <v>0.5</v>
      </c>
    </row>
    <row r="3" spans="2:7" x14ac:dyDescent="0.25">
      <c r="B3" t="s">
        <v>0</v>
      </c>
      <c r="C3">
        <v>27000</v>
      </c>
      <c r="D3">
        <v>12000</v>
      </c>
      <c r="E3">
        <v>21000</v>
      </c>
      <c r="F3">
        <v>25000</v>
      </c>
      <c r="G3">
        <v>29000</v>
      </c>
    </row>
    <row r="4" spans="2:7" x14ac:dyDescent="0.25">
      <c r="B4" t="s">
        <v>12</v>
      </c>
      <c r="C4">
        <f ca="1">RANDBETWEEN(25000,30000)</f>
        <v>29758</v>
      </c>
      <c r="D4">
        <f t="shared" ref="D4:G5" ca="1" si="0">RANDBETWEEN(25000,30000)</f>
        <v>27247</v>
      </c>
      <c r="E4">
        <f ca="1">RANDBETWEEN(25000,30000)</f>
        <v>26388</v>
      </c>
      <c r="F4">
        <f t="shared" ca="1" si="0"/>
        <v>25749</v>
      </c>
      <c r="G4">
        <f t="shared" ca="1" si="0"/>
        <v>27334</v>
      </c>
    </row>
    <row r="5" spans="2:7" x14ac:dyDescent="0.25">
      <c r="B5" t="s">
        <v>13</v>
      </c>
      <c r="C5">
        <f ca="1">RANDBETWEEN(25000,30000)</f>
        <v>27057</v>
      </c>
      <c r="D5">
        <f t="shared" ca="1" si="0"/>
        <v>29568</v>
      </c>
      <c r="E5">
        <f t="shared" ca="1" si="0"/>
        <v>25992</v>
      </c>
      <c r="F5">
        <f t="shared" ca="1" si="0"/>
        <v>27360</v>
      </c>
      <c r="G5">
        <f t="shared" ca="1" si="0"/>
        <v>29896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DE OLIVEIRA ALVES FERREIRA</dc:creator>
  <cp:lastModifiedBy>Luis Fernando Spoljaric</cp:lastModifiedBy>
  <dcterms:created xsi:type="dcterms:W3CDTF">2025-04-09T16:54:29Z</dcterms:created>
  <dcterms:modified xsi:type="dcterms:W3CDTF">2025-10-17T19:13:57Z</dcterms:modified>
</cp:coreProperties>
</file>